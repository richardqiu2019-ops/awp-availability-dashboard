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331" windowHeight="12548"/>
  </bookViews>
  <sheets>
    <sheet name="clean_data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<sst xmlns="http://schemas.openxmlformats.org/spreadsheetml/2006/main" count="65" uniqueCount="50">
  <si>
    <t>Model</t>
  </si>
  <si>
    <t>Material Number</t>
  </si>
  <si>
    <t>Product Group</t>
  </si>
  <si>
    <t>UK Stock</t>
  </si>
  <si>
    <t>On Water</t>
  </si>
  <si>
    <t>On Water ETA</t>
  </si>
  <si>
    <t>Ordered</t>
  </si>
  <si>
    <t>Machines Order Date</t>
  </si>
  <si>
    <t>EGRD</t>
  </si>
  <si>
    <t>Ordered ETA</t>
  </si>
  <si>
    <t>Next Order</t>
  </si>
  <si>
    <t>Next Order Date</t>
  </si>
  <si>
    <t>Next ETA</t>
  </si>
  <si>
    <t>Remark</t>
  </si>
  <si>
    <t>LS0507EM</t>
  </si>
  <si>
    <t>55F01390012B000</t>
  </si>
  <si>
    <t>Scissors</t>
  </si>
  <si>
    <t>LS0608E</t>
  </si>
  <si>
    <t>55F02060007B000</t>
  </si>
  <si>
    <t>LS0808E</t>
  </si>
  <si>
    <t>55F01480015B000</t>
  </si>
  <si>
    <t>LS0812E</t>
  </si>
  <si>
    <t>55F01540011B000</t>
  </si>
  <si>
    <t>LS1012E</t>
  </si>
  <si>
    <t>55F01500013B000</t>
  </si>
  <si>
    <t>LS1212E</t>
  </si>
  <si>
    <t>55F01470012B000</t>
  </si>
  <si>
    <t>LS1412E</t>
  </si>
  <si>
    <t>55F01850002B000</t>
  </si>
  <si>
    <t>LS1414E</t>
  </si>
  <si>
    <t>55F02470006B000</t>
  </si>
  <si>
    <t>LS0610EC</t>
  </si>
  <si>
    <t>55F02460008B000</t>
  </si>
  <si>
    <t>LS1216HC</t>
  </si>
  <si>
    <t>55F01800003B000</t>
  </si>
  <si>
    <t>LS1623ERT</t>
  </si>
  <si>
    <t>55F01700004B000</t>
  </si>
  <si>
    <t>LM09JE</t>
  </si>
  <si>
    <t>55F02590012B000</t>
  </si>
  <si>
    <t>Boom</t>
  </si>
  <si>
    <t>LA14JE</t>
  </si>
  <si>
    <t>55F01680006B000</t>
  </si>
  <si>
    <t>LA16JE</t>
  </si>
  <si>
    <t>55F02140003B000</t>
  </si>
  <si>
    <t>LA20JE</t>
  </si>
  <si>
    <t>55F01520002B000</t>
  </si>
  <si>
    <t>LT20JE</t>
  </si>
  <si>
    <t>55F01120002B000</t>
  </si>
  <si>
    <t>LT26JE</t>
  </si>
  <si>
    <t>55F01350002B000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</si>
</sst>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d\-mmm\-yy;@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176" fontId="1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"/>
  <sheetViews>
    <sheetView tabSelected="1" zoomScale="115" zoomScaleNormal="115" workbookViewId="0">
      <selection activeCell="H11" sqref="H11"/>
    </sheetView>
  </sheetViews>
  <sheetFormatPr defaultColWidth="9" defaultRowHeight="14.1"/>
  <cols>
    <col min="1" max="1" width="15.3513513513514" style="2" customWidth="1"/>
    <col min="2" max="2" width="20.5855855855856" style="2" customWidth="1"/>
    <col min="3" max="3" width="8.55855855855856" style="2" customWidth="1"/>
    <col min="4" max="5" width="6.33333333333333" style="2" customWidth="1"/>
    <col min="6" max="6" width="10.7747747747748" style="3"/>
    <col min="7" max="7" width="9" style="2"/>
    <col min="8" max="8" width="16.3333333333333" style="3" customWidth="1"/>
    <col min="9" max="9" width="10" style="3" customWidth="1"/>
    <col min="10" max="10" width="13" style="3" customWidth="1"/>
    <col min="11" max="11" width="8.21621621621622" style="2" customWidth="1"/>
    <col min="12" max="14" width="10.7747747747748" style="3"/>
    <col min="15" max="15" width="9" style="2"/>
  </cols>
  <sheetData>
    <row r="1" s="1" customFormat="1" ht="42.45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/>
    </row>
    <row r="2" ht="14.15" spans="1:15">
      <c r="A2" s="6" t="s">
        <v>14</v>
      </c>
      <c r="B2" s="6" t="s">
        <v>15</v>
      </c>
      <c r="C2" s="2" t="s">
        <v>16</v>
      </c>
      <c r="D2" s="2">
        <v>1</v>
      </c>
      <c r="E2" s="2">
        <v>19</v>
      </c>
      <c r="G2" s="2">
        <v>0</v>
      </c>
      <c r="K2" s="2">
        <v>0</v>
      </c>
    </row>
    <row r="3" ht="14.15" spans="1:15">
      <c r="A3" s="6" t="s">
        <v>17</v>
      </c>
      <c r="B3" s="6" t="s">
        <v>18</v>
      </c>
      <c r="C3" s="2" t="s">
        <v>16</v>
      </c>
      <c r="D3" s="2">
        <v>1</v>
      </c>
      <c r="E3" s="2">
        <v>12</v>
      </c>
      <c r="G3" s="2">
        <v>20</v>
      </c>
      <c r="H3" s="3">
        <v>46149</v>
      </c>
      <c r="I3" s="3">
        <v>46183</v>
      </c>
      <c r="J3" s="3">
        <f t="shared" ref="J3:J7" si="0">I3+45</f>
        <v>46228</v>
      </c>
      <c r="K3" s="2">
        <v>0</v>
      </c>
    </row>
    <row r="4" ht="14.15" spans="1:15">
      <c r="A4" s="6" t="s">
        <v>19</v>
      </c>
      <c r="B4" s="6" t="s">
        <v>20</v>
      </c>
      <c r="C4" s="2" t="s">
        <v>16</v>
      </c>
      <c r="D4" s="2">
        <v>13</v>
      </c>
      <c r="E4" s="2">
        <v>10</v>
      </c>
      <c r="G4" s="2">
        <v>5</v>
      </c>
      <c r="H4" s="3">
        <v>46149</v>
      </c>
      <c r="I4" s="3">
        <v>46183</v>
      </c>
      <c r="J4" s="3">
        <f t="shared" si="0"/>
        <v>46228</v>
      </c>
      <c r="K4" s="2">
        <v>0</v>
      </c>
    </row>
    <row r="5" ht="14.15" spans="1:15">
      <c r="A5" s="6" t="s">
        <v>21</v>
      </c>
      <c r="B5" s="6" t="s">
        <v>22</v>
      </c>
      <c r="C5" s="2" t="s">
        <v>16</v>
      </c>
      <c r="D5" s="2">
        <v>18</v>
      </c>
      <c r="E5" s="2">
        <v>0</v>
      </c>
      <c r="G5" s="2">
        <v>10</v>
      </c>
      <c r="H5" s="3">
        <v>46149</v>
      </c>
      <c r="I5" s="3">
        <v>46183</v>
      </c>
      <c r="J5" s="3">
        <f t="shared" si="0"/>
        <v>46228</v>
      </c>
      <c r="K5" s="2">
        <v>0</v>
      </c>
    </row>
    <row r="6" ht="14.15" spans="1:15">
      <c r="A6" s="6" t="s">
        <v>23</v>
      </c>
      <c r="B6" s="6" t="s">
        <v>24</v>
      </c>
      <c r="C6" s="2" t="s">
        <v>16</v>
      </c>
      <c r="D6" s="2">
        <v>5</v>
      </c>
      <c r="E6" s="2">
        <v>0</v>
      </c>
      <c r="G6" s="2">
        <v>10</v>
      </c>
      <c r="H6" s="3">
        <v>46149</v>
      </c>
      <c r="I6" s="3">
        <v>46183</v>
      </c>
      <c r="J6" s="3">
        <f t="shared" si="0"/>
        <v>46228</v>
      </c>
      <c r="K6" s="2">
        <v>0</v>
      </c>
    </row>
    <row r="7" ht="14.15" spans="1:15">
      <c r="A7" s="6" t="s">
        <v>25</v>
      </c>
      <c r="B7" s="6" t="s">
        <v>26</v>
      </c>
      <c r="C7" s="2" t="s">
        <v>16</v>
      </c>
      <c r="D7" s="2">
        <v>0</v>
      </c>
      <c r="E7" s="2">
        <v>0</v>
      </c>
      <c r="G7" s="2">
        <v>3</v>
      </c>
      <c r="H7" s="3">
        <v>46149</v>
      </c>
      <c r="I7" s="3">
        <v>46183</v>
      </c>
      <c r="J7" s="3">
        <f t="shared" si="0"/>
        <v>46228</v>
      </c>
      <c r="K7" s="2">
        <v>0</v>
      </c>
    </row>
    <row r="8" ht="14.15" spans="1:15">
      <c r="A8" s="6" t="s">
        <v>27</v>
      </c>
      <c r="B8" s="6" t="s">
        <v>28</v>
      </c>
      <c r="C8" s="2" t="s">
        <v>16</v>
      </c>
      <c r="D8" s="2">
        <v>3</v>
      </c>
      <c r="E8" s="2">
        <v>0</v>
      </c>
      <c r="G8" s="2">
        <v>0</v>
      </c>
      <c r="K8" s="2">
        <v>0</v>
      </c>
    </row>
    <row r="9" ht="14.15" spans="1:15">
      <c r="A9" s="6" t="s">
        <v>29</v>
      </c>
      <c r="B9" s="6" t="s">
        <v>30</v>
      </c>
      <c r="C9" s="2" t="s">
        <v>16</v>
      </c>
      <c r="D9" s="2">
        <v>0</v>
      </c>
      <c r="E9" s="2">
        <v>0</v>
      </c>
      <c r="G9" s="2">
        <v>6</v>
      </c>
      <c r="H9" s="3">
        <v>46149</v>
      </c>
      <c r="I9" s="3">
        <v>46183</v>
      </c>
      <c r="J9" s="3">
        <f t="shared" ref="J9:J13" si="1">I9+45</f>
        <v>46228</v>
      </c>
      <c r="K9" s="2">
        <v>0</v>
      </c>
    </row>
    <row r="10" ht="14.15" spans="1:15">
      <c r="A10" s="6" t="s">
        <v>31</v>
      </c>
      <c r="B10" s="6" t="s">
        <v>32</v>
      </c>
      <c r="C10" s="2" t="s">
        <v>16</v>
      </c>
      <c r="D10" s="2">
        <v>2</v>
      </c>
      <c r="E10" s="2">
        <v>23</v>
      </c>
      <c r="G10" s="2">
        <v>0</v>
      </c>
      <c r="K10" s="2">
        <v>0</v>
      </c>
    </row>
    <row r="11" ht="14.15" spans="1:15">
      <c r="A11" s="6" t="s">
        <v>33</v>
      </c>
      <c r="B11" s="6" t="s">
        <v>34</v>
      </c>
      <c r="C11" s="2" t="s">
        <v>16</v>
      </c>
      <c r="D11" s="2">
        <v>0</v>
      </c>
      <c r="E11" s="2">
        <v>0</v>
      </c>
      <c r="G11" s="2">
        <v>2</v>
      </c>
      <c r="H11" s="3">
        <v>46149</v>
      </c>
      <c r="I11" s="3">
        <v>46183</v>
      </c>
      <c r="J11" s="3">
        <f t="shared" si="1"/>
        <v>46228</v>
      </c>
      <c r="K11" s="2">
        <v>0</v>
      </c>
    </row>
    <row r="12" ht="14.15" spans="1:15">
      <c r="A12" s="6" t="s">
        <v>35</v>
      </c>
      <c r="B12" s="6" t="s">
        <v>36</v>
      </c>
      <c r="C12" s="2" t="s">
        <v>16</v>
      </c>
      <c r="D12" s="2">
        <v>1</v>
      </c>
      <c r="E12" s="2">
        <v>0</v>
      </c>
      <c r="G12" s="2">
        <v>0</v>
      </c>
      <c r="K12" s="2">
        <v>0</v>
      </c>
    </row>
    <row r="13" ht="14.15" spans="1:15">
      <c r="A13" s="6" t="s">
        <v>37</v>
      </c>
      <c r="B13" s="6" t="s">
        <v>38</v>
      </c>
      <c r="C13" s="2" t="s">
        <v>39</v>
      </c>
      <c r="D13" s="2">
        <v>7</v>
      </c>
      <c r="E13" s="2">
        <v>8</v>
      </c>
      <c r="G13" s="2">
        <v>8</v>
      </c>
      <c r="H13" s="3">
        <v>46120</v>
      </c>
      <c r="I13" s="3">
        <v>46153</v>
      </c>
      <c r="J13" s="3">
        <f t="shared" si="1"/>
        <v>46198</v>
      </c>
      <c r="K13" s="2">
        <v>0</v>
      </c>
    </row>
    <row r="14" ht="14.15" spans="1:15">
      <c r="A14" s="6" t="s">
        <v>40</v>
      </c>
      <c r="B14" s="6" t="s">
        <v>41</v>
      </c>
      <c r="C14" s="2" t="s">
        <v>39</v>
      </c>
      <c r="D14" s="2">
        <v>1</v>
      </c>
      <c r="E14" s="2">
        <v>0</v>
      </c>
      <c r="G14" s="2">
        <v>0</v>
      </c>
      <c r="K14" s="2">
        <v>0</v>
      </c>
    </row>
    <row r="15" ht="14.15" spans="1:15">
      <c r="A15" s="6" t="s">
        <v>42</v>
      </c>
      <c r="B15" s="6" t="s">
        <v>43</v>
      </c>
      <c r="C15" s="2" t="s">
        <v>39</v>
      </c>
      <c r="D15" s="2">
        <v>1</v>
      </c>
      <c r="E15" s="2">
        <v>0</v>
      </c>
      <c r="G15" s="2">
        <v>0</v>
      </c>
      <c r="K15" s="2">
        <v>0</v>
      </c>
    </row>
    <row r="16" ht="14.15" spans="1:15">
      <c r="A16" s="6" t="s">
        <v>44</v>
      </c>
      <c r="B16" s="6" t="s">
        <v>45</v>
      </c>
      <c r="C16" s="2" t="s">
        <v>39</v>
      </c>
      <c r="D16" s="2">
        <v>3</v>
      </c>
      <c r="E16" s="2">
        <v>0</v>
      </c>
      <c r="G16" s="2">
        <v>0</v>
      </c>
      <c r="K16" s="2">
        <v>0</v>
      </c>
    </row>
    <row r="17" ht="14.15" spans="1:11">
      <c r="A17" s="6" t="s">
        <v>46</v>
      </c>
      <c r="B17" s="6" t="s">
        <v>47</v>
      </c>
      <c r="C17" s="2" t="s">
        <v>39</v>
      </c>
      <c r="D17" s="2">
        <v>3</v>
      </c>
      <c r="E17" s="2">
        <v>0</v>
      </c>
      <c r="G17" s="2">
        <v>0</v>
      </c>
      <c r="K17" s="2">
        <v>0</v>
      </c>
    </row>
    <row r="18" ht="14.15" spans="1:11">
      <c r="A18" s="6" t="s">
        <v>48</v>
      </c>
      <c r="B18" s="6" t="s">
        <v>49</v>
      </c>
      <c r="C18" s="2" t="s">
        <v>39</v>
      </c>
      <c r="D18" s="2">
        <v>1</v>
      </c>
      <c r="E18" s="2">
        <v>0</v>
      </c>
      <c r="G18" s="2">
        <v>0</v>
      </c>
      <c r="K18" s="2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clean_data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邱睿</dc:creator>
  <cp:lastModifiedBy>今之濑</cp:lastModifiedBy>
  <dcterms:created xsi:type="dcterms:W3CDTF">2023-05-12T11:15:00Z</dcterms:created>
  <dcterms:modified xsi:type="dcterms:W3CDTF">2026-06-08T09:52:20Z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C38809E228684C199BE3E4EFEB183941_12</vt:lpwstr>
  </property>
  <property fmtid="{D5CDD505-2E9C-101B-9397-08002B2CF9AE}" pid="4" name="CalculationRule">
    <vt:i4>0</vt:i4>
  </property>
</Properties>
</file>