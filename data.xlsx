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300"/>
  </bookViews>
  <sheets>
    <sheet name="clean_data" sheetId="1" r:id="rId1"/>
    <sheet name="Sheet2" sheetId="2" r:id="rId2"/>
    <sheet name="Sheet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<sst xmlns="http://schemas.openxmlformats.org/spreadsheetml/2006/main" count="46" uniqueCount="31">
  <si>
    <t>Model</t>
  </si>
  <si>
    <t>Product Group</t>
  </si>
  <si>
    <t>UK Stock</t>
  </si>
  <si>
    <t>On Water</t>
  </si>
  <si>
    <t>On Water ETA</t>
  </si>
  <si>
    <t>Ordered</t>
  </si>
  <si>
    <t>Machines Order Date</t>
  </si>
  <si>
    <t>EGRD</t>
  </si>
  <si>
    <t>Ordered ETA</t>
  </si>
  <si>
    <t>Next Order</t>
  </si>
  <si>
    <t>Next Order Date</t>
  </si>
  <si>
    <t>Next ETA</t>
  </si>
  <si>
    <t>LS0507EM</t>
  </si>
  <si>
    <t>Scissors</t>
  </si>
  <si>
    <t>LS0608E</t>
  </si>
  <si>
    <t>LS0808E</t>
  </si>
  <si>
    <t>LS0812E</t>
  </si>
  <si>
    <t>LS1012E</t>
  </si>
  <si>
    <t>LS1212E</t>
  </si>
  <si>
    <t>LS1412E</t>
  </si>
  <si>
    <t>LS1414E</t>
  </si>
  <si>
    <t>LS0610EC</t>
  </si>
  <si>
    <t>LS1216HC</t>
  </si>
  <si>
    <t>LS1623ERT</t>
  </si>
  <si>
    <t>LM09JE</t>
  </si>
  <si>
    <t>Boom</t>
  </si>
  <si>
    <t>LA14JE</t>
  </si>
  <si>
    <t>LA16JE</t>
  </si>
  <si>
    <t>LA20JE</t>
  </si>
  <si>
    <t>LT20JE</t>
  </si>
  <si>
    <t>LT26JE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</si>
</sst>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[$-409]dd\-mmm\-yy;@"/>
  </numFmts>
  <fonts count="22">
    <font>
      <sz val="11"/>
      <color theme="1"/>
      <name val="宋体"/>
      <charset val="134"/>
      <scheme val="minor"/>
    </font>
    <font>
      <sz val="11"/>
      <color theme="1"/>
      <name val="Times New Roman"/>
      <charset val="134"/>
    </font>
    <font>
      <b/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3" fillId="0" borderId="0">
      <alignment vertical="center"/>
    </xf>
    <xf numFmtId="0" fontId="4" fillId="0" borderId="0">
      <alignment vertical="center"/>
    </xf>
    <xf numFmtId="0" fontId="0" fillId="2" borderId="1">
      <alignment vertical="center"/>
    </xf>
    <xf numFmtId="0" fontId="5" fillId="0" borderId="0">
      <alignment vertical="center"/>
    </xf>
    <xf numFmtId="0" fontId="6" fillId="0" borderId="0">
      <alignment vertical="center"/>
    </xf>
    <xf numFmtId="0" fontId="7" fillId="0" borderId="0">
      <alignment vertical="center"/>
    </xf>
    <xf numFmtId="0" fontId="8" fillId="0" borderId="2">
      <alignment vertical="center"/>
    </xf>
    <xf numFmtId="0" fontId="9" fillId="0" borderId="2">
      <alignment vertical="center"/>
    </xf>
    <xf numFmtId="0" fontId="10" fillId="0" borderId="3">
      <alignment vertical="center"/>
    </xf>
    <xf numFmtId="0" fontId="10" fillId="0" borderId="0">
      <alignment vertical="center"/>
    </xf>
    <xf numFmtId="0" fontId="11" fillId="3" borderId="4">
      <alignment vertical="center"/>
    </xf>
    <xf numFmtId="0" fontId="12" fillId="4" borderId="5">
      <alignment vertical="center"/>
    </xf>
    <xf numFmtId="0" fontId="13" fillId="4" borderId="4">
      <alignment vertical="center"/>
    </xf>
    <xf numFmtId="0" fontId="14" fillId="5" borderId="6">
      <alignment vertical="center"/>
    </xf>
    <xf numFmtId="0" fontId="15" fillId="0" borderId="7">
      <alignment vertical="center"/>
    </xf>
    <xf numFmtId="0" fontId="16" fillId="0" borderId="8">
      <alignment vertical="center"/>
    </xf>
    <xf numFmtId="0" fontId="17" fillId="6" borderId="0">
      <alignment vertical="center"/>
    </xf>
    <xf numFmtId="0" fontId="18" fillId="7" borderId="0">
      <alignment vertical="center"/>
    </xf>
    <xf numFmtId="0" fontId="19" fillId="8" borderId="0">
      <alignment vertical="center"/>
    </xf>
    <xf numFmtId="0" fontId="20" fillId="9" borderId="0">
      <alignment vertical="center"/>
    </xf>
    <xf numFmtId="0" fontId="21" fillId="10" borderId="0">
      <alignment vertical="center"/>
    </xf>
    <xf numFmtId="0" fontId="21" fillId="11" borderId="0">
      <alignment vertical="center"/>
    </xf>
    <xf numFmtId="0" fontId="20" fillId="12" borderId="0">
      <alignment vertical="center"/>
    </xf>
    <xf numFmtId="0" fontId="20" fillId="13" borderId="0">
      <alignment vertical="center"/>
    </xf>
    <xf numFmtId="0" fontId="21" fillId="14" borderId="0">
      <alignment vertical="center"/>
    </xf>
    <xf numFmtId="0" fontId="21" fillId="15" borderId="0">
      <alignment vertical="center"/>
    </xf>
    <xf numFmtId="0" fontId="20" fillId="16" borderId="0">
      <alignment vertical="center"/>
    </xf>
    <xf numFmtId="0" fontId="20" fillId="17" borderId="0">
      <alignment vertical="center"/>
    </xf>
    <xf numFmtId="0" fontId="21" fillId="18" borderId="0">
      <alignment vertical="center"/>
    </xf>
    <xf numFmtId="0" fontId="21" fillId="19" borderId="0">
      <alignment vertical="center"/>
    </xf>
    <xf numFmtId="0" fontId="20" fillId="20" borderId="0">
      <alignment vertical="center"/>
    </xf>
    <xf numFmtId="0" fontId="20" fillId="21" borderId="0">
      <alignment vertical="center"/>
    </xf>
    <xf numFmtId="0" fontId="21" fillId="22" borderId="0">
      <alignment vertical="center"/>
    </xf>
    <xf numFmtId="0" fontId="21" fillId="23" borderId="0">
      <alignment vertical="center"/>
    </xf>
    <xf numFmtId="0" fontId="20" fillId="24" borderId="0">
      <alignment vertical="center"/>
    </xf>
    <xf numFmtId="0" fontId="20" fillId="25" borderId="0">
      <alignment vertical="center"/>
    </xf>
    <xf numFmtId="0" fontId="21" fillId="26" borderId="0">
      <alignment vertical="center"/>
    </xf>
    <xf numFmtId="0" fontId="21" fillId="27" borderId="0">
      <alignment vertical="center"/>
    </xf>
    <xf numFmtId="0" fontId="20" fillId="28" borderId="0">
      <alignment vertical="center"/>
    </xf>
    <xf numFmtId="0" fontId="20" fillId="29" borderId="0">
      <alignment vertical="center"/>
    </xf>
    <xf numFmtId="0" fontId="21" fillId="30" borderId="0">
      <alignment vertical="center"/>
    </xf>
    <xf numFmtId="0" fontId="21" fillId="31" borderId="0">
      <alignment vertical="center"/>
    </xf>
    <xf numFmtId="0" fontId="20" fillId="32" borderId="0">
      <alignment vertical="center"/>
    </xf>
  </cellStyleXfs>
  <cellXfs count="6"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0" fontId="1" fillId="0" borderId="0" xfId="0" applyFont="1" applyAlignment="1">
      <alignment vertical="center"/>
    </xf>
    <xf numFmtId="176" fontId="1" fillId="0" borderId="0" xfId="0" applyNumberFormat="1" applyFont="1" applyAlignment="1">
      <alignment vertical="center"/>
    </xf>
    <xf numFmtId="0" fontId="2" fillId="0" borderId="0" xfId="0" applyFont="1" applyAlignment="1">
      <alignment horizontal="center" vertical="center" wrapText="1"/>
    </xf>
    <xf numFmtId="0" fontId="1" fillId="0" borderId="0" xfId="0" applyFont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18"/>
  <sheetViews>
    <sheetView tabSelected="1" workbookViewId="0">
      <selection activeCell="E8" sqref="E8"/>
    </sheetView>
  </sheetViews>
  <sheetFormatPr defaultColWidth="9" defaultRowHeight="14.4"/>
  <cols>
    <col min="1" max="1" width="12.1111111111111" style="2" customWidth="1"/>
    <col min="2" max="2" width="8.55555555555556" style="2" customWidth="1"/>
    <col min="3" max="4" width="6.33333333333333" style="2" customWidth="1"/>
    <col min="5" max="5" width="10.7777777777778" style="3"/>
    <col min="6" max="6" width="9" style="2"/>
    <col min="7" max="7" width="16.3333333333333" style="3" customWidth="1"/>
    <col min="8" max="8" width="10" style="3" customWidth="1"/>
    <col min="9" max="9" width="13" style="3" customWidth="1"/>
    <col min="10" max="10" width="6.33333333333333" style="2" customWidth="1"/>
    <col min="11" max="12" width="10.7777777777778" style="3"/>
    <col min="13" max="13" width="9" style="2"/>
  </cols>
  <sheetData>
    <row r="1" s="1" customFormat="1" ht="43.2" spans="1:13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5"/>
    </row>
    <row r="2" spans="1:13">
      <c r="A2" s="2" t="s">
        <v>12</v>
      </c>
      <c r="B2" s="2" t="s">
        <v>13</v>
      </c>
      <c r="C2" s="2">
        <v>6</v>
      </c>
      <c r="D2" s="2">
        <v>0</v>
      </c>
      <c r="F2" s="2">
        <v>19</v>
      </c>
      <c r="G2" s="3">
        <v>46092</v>
      </c>
      <c r="H2" s="3">
        <v>46143</v>
      </c>
      <c r="I2" s="3">
        <f>H2+45</f>
        <v>46188</v>
      </c>
      <c r="J2" s="2">
        <v>0</v>
      </c>
    </row>
    <row r="3" spans="1:13">
      <c r="A3" s="2" t="s">
        <v>14</v>
      </c>
      <c r="B3" s="2" t="s">
        <v>13</v>
      </c>
      <c r="C3" s="2">
        <v>4</v>
      </c>
      <c r="D3" s="2">
        <v>0</v>
      </c>
      <c r="E3" s="3"/>
      <c r="F3" s="2">
        <v>12</v>
      </c>
      <c r="G3" s="3">
        <v>46092</v>
      </c>
      <c r="H3" s="3">
        <v>46143</v>
      </c>
      <c r="I3" s="3">
        <f t="shared" ref="I3:I8" si="0">H3+45</f>
        <v>46188</v>
      </c>
      <c r="J3" s="2">
        <v>10</v>
      </c>
      <c r="K3" s="3">
        <v>46134</v>
      </c>
      <c r="L3" s="3">
        <f t="shared" ref="L3:L6" si="1">K3+45+35</f>
        <v>46214</v>
      </c>
    </row>
    <row r="4" spans="1:13">
      <c r="A4" s="2" t="s">
        <v>15</v>
      </c>
      <c r="B4" s="2" t="s">
        <v>13</v>
      </c>
      <c r="C4" s="2">
        <v>13</v>
      </c>
      <c r="D4" s="2">
        <v>0</v>
      </c>
      <c r="E4" s="3"/>
      <c r="F4" s="2">
        <v>8</v>
      </c>
      <c r="G4" s="3">
        <v>46092</v>
      </c>
      <c r="H4" s="3">
        <v>46143</v>
      </c>
      <c r="I4" s="3">
        <f t="shared" si="0"/>
        <v>46188</v>
      </c>
      <c r="J4" s="2">
        <v>5</v>
      </c>
      <c r="K4" s="3">
        <v>46134</v>
      </c>
      <c r="L4" s="3">
        <f t="shared" si="1"/>
        <v>46214</v>
      </c>
    </row>
    <row r="5" spans="1:13">
      <c r="A5" s="2" t="s">
        <v>16</v>
      </c>
      <c r="B5" s="2" t="s">
        <v>13</v>
      </c>
      <c r="C5" s="2">
        <v>18</v>
      </c>
      <c r="D5" s="2">
        <v>0</v>
      </c>
      <c r="E5" s="3"/>
      <c r="F5" s="2">
        <v>0</v>
      </c>
      <c r="J5" s="2">
        <v>10</v>
      </c>
      <c r="K5" s="3">
        <v>46134</v>
      </c>
      <c r="L5" s="3">
        <f t="shared" si="1"/>
        <v>46214</v>
      </c>
    </row>
    <row r="6" spans="1:13">
      <c r="A6" s="2" t="s">
        <v>17</v>
      </c>
      <c r="B6" s="2" t="s">
        <v>13</v>
      </c>
      <c r="C6" s="2">
        <v>5</v>
      </c>
      <c r="D6" s="2">
        <v>0</v>
      </c>
      <c r="E6" s="3"/>
      <c r="F6" s="2">
        <v>0</v>
      </c>
      <c r="J6" s="2">
        <v>10</v>
      </c>
      <c r="K6" s="3">
        <v>46134</v>
      </c>
      <c r="L6" s="3">
        <f t="shared" si="1"/>
        <v>46214</v>
      </c>
    </row>
    <row r="7" spans="1:13">
      <c r="A7" s="2" t="s">
        <v>18</v>
      </c>
      <c r="B7" s="2" t="s">
        <v>13</v>
      </c>
      <c r="C7" s="2">
        <v>0</v>
      </c>
      <c r="D7" s="2">
        <v>0</v>
      </c>
      <c r="E7" s="3"/>
      <c r="F7" s="2">
        <v>0</v>
      </c>
      <c r="J7" s="2">
        <v>0</v>
      </c>
    </row>
    <row r="8" spans="1:13">
      <c r="A8" s="2" t="s">
        <v>19</v>
      </c>
      <c r="B8" s="2" t="s">
        <v>13</v>
      </c>
      <c r="C8" s="2">
        <v>0</v>
      </c>
      <c r="D8" s="2">
        <v>2</v>
      </c>
      <c r="E8" s="3">
        <v>46158</v>
      </c>
      <c r="F8" s="2">
        <v>2</v>
      </c>
      <c r="G8" s="3">
        <v>46092</v>
      </c>
      <c r="H8" s="3">
        <v>46143</v>
      </c>
      <c r="I8" s="3">
        <f t="shared" si="0"/>
        <v>46188</v>
      </c>
      <c r="J8" s="2">
        <v>2</v>
      </c>
      <c r="K8" s="3">
        <v>46134</v>
      </c>
      <c r="L8" s="3">
        <f t="shared" ref="L8:L11" si="2">K8+45+35</f>
        <v>46214</v>
      </c>
    </row>
    <row r="9" spans="1:13">
      <c r="A9" s="2" t="s">
        <v>20</v>
      </c>
      <c r="B9" s="2" t="s">
        <v>13</v>
      </c>
      <c r="C9" s="2">
        <v>0</v>
      </c>
      <c r="D9" s="2">
        <v>2</v>
      </c>
      <c r="E9" s="3">
        <v>46158</v>
      </c>
      <c r="F9" s="2">
        <v>0</v>
      </c>
      <c r="J9" s="2">
        <v>4</v>
      </c>
      <c r="K9" s="3">
        <v>46134</v>
      </c>
      <c r="L9" s="3">
        <f t="shared" si="2"/>
        <v>46214</v>
      </c>
    </row>
    <row r="10" spans="1:13">
      <c r="A10" s="2" t="s">
        <v>21</v>
      </c>
      <c r="B10" s="2" t="s">
        <v>13</v>
      </c>
      <c r="C10" s="2">
        <v>2</v>
      </c>
      <c r="D10" s="2">
        <v>0</v>
      </c>
      <c r="F10" s="2">
        <v>10</v>
      </c>
      <c r="G10" s="3">
        <v>46092</v>
      </c>
      <c r="H10" s="3">
        <v>46143</v>
      </c>
      <c r="I10" s="3">
        <f>H10+45</f>
        <v>46188</v>
      </c>
      <c r="J10" s="2">
        <v>13</v>
      </c>
      <c r="K10" s="3">
        <v>46141</v>
      </c>
      <c r="L10" s="3">
        <f t="shared" si="2"/>
        <v>46221</v>
      </c>
    </row>
    <row r="11" spans="1:13">
      <c r="A11" s="2" t="s">
        <v>22</v>
      </c>
      <c r="B11" s="2" t="s">
        <v>13</v>
      </c>
      <c r="C11" s="2">
        <v>0</v>
      </c>
      <c r="D11" s="2">
        <v>0</v>
      </c>
      <c r="F11" s="2">
        <v>0</v>
      </c>
      <c r="J11" s="2">
        <v>2</v>
      </c>
      <c r="K11" s="3">
        <v>46134</v>
      </c>
      <c r="L11" s="3">
        <f t="shared" si="2"/>
        <v>46214</v>
      </c>
    </row>
    <row r="12" spans="1:13">
      <c r="A12" s="2" t="s">
        <v>23</v>
      </c>
      <c r="B12" s="2" t="s">
        <v>13</v>
      </c>
      <c r="C12" s="2">
        <v>1</v>
      </c>
      <c r="D12" s="2">
        <v>0</v>
      </c>
      <c r="F12" s="2">
        <v>0</v>
      </c>
      <c r="J12" s="2">
        <v>0</v>
      </c>
    </row>
    <row r="13" spans="1:13">
      <c r="A13" s="2" t="s">
        <v>24</v>
      </c>
      <c r="B13" s="2" t="s">
        <v>25</v>
      </c>
      <c r="C13" s="2">
        <v>7</v>
      </c>
      <c r="D13" s="2">
        <v>0</v>
      </c>
      <c r="F13" s="2">
        <v>8</v>
      </c>
      <c r="J13" s="2">
        <v>0</v>
      </c>
    </row>
    <row r="14" spans="1:13">
      <c r="A14" s="2" t="s">
        <v>26</v>
      </c>
      <c r="B14" s="2" t="s">
        <v>25</v>
      </c>
      <c r="C14" s="2">
        <v>1</v>
      </c>
      <c r="D14" s="2">
        <v>0</v>
      </c>
      <c r="F14" s="2">
        <v>0</v>
      </c>
      <c r="J14" s="2">
        <v>0</v>
      </c>
    </row>
    <row r="15" spans="1:13">
      <c r="A15" s="2" t="s">
        <v>27</v>
      </c>
      <c r="B15" s="2" t="s">
        <v>25</v>
      </c>
      <c r="C15" s="2">
        <v>1</v>
      </c>
      <c r="D15" s="2">
        <v>0</v>
      </c>
      <c r="F15" s="2">
        <v>0</v>
      </c>
      <c r="J15" s="2">
        <v>0</v>
      </c>
    </row>
    <row r="16" spans="1:13">
      <c r="A16" s="2" t="s">
        <v>28</v>
      </c>
      <c r="B16" s="2" t="s">
        <v>25</v>
      </c>
      <c r="C16" s="2">
        <v>3</v>
      </c>
      <c r="D16" s="2">
        <v>0</v>
      </c>
      <c r="F16" s="2">
        <v>0</v>
      </c>
      <c r="J16" s="2">
        <v>0</v>
      </c>
    </row>
    <row r="17" spans="1:10">
      <c r="A17" s="2" t="s">
        <v>29</v>
      </c>
      <c r="B17" s="2" t="s">
        <v>25</v>
      </c>
      <c r="C17" s="2">
        <v>3</v>
      </c>
      <c r="D17" s="2">
        <v>0</v>
      </c>
      <c r="F17" s="2">
        <v>0</v>
      </c>
      <c r="J17" s="2">
        <v>0</v>
      </c>
    </row>
    <row r="18" spans="1:10">
      <c r="A18" s="2" t="s">
        <v>30</v>
      </c>
      <c r="B18" s="2" t="s">
        <v>25</v>
      </c>
      <c r="C18" s="2">
        <v>1</v>
      </c>
      <c r="D18" s="2">
        <v>0</v>
      </c>
      <c r="F18" s="2">
        <v>0</v>
      </c>
      <c r="J18" s="2">
        <v>0</v>
      </c>
    </row>
  </sheetData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4.4"/>
  <sheetData/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4.4"/>
  <sheetData/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clean_data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邱睿</dc:creator>
  <cp:lastModifiedBy>Edura</cp:lastModifiedBy>
  <dcterms:created xsi:type="dcterms:W3CDTF">2023-05-12T11:15:00Z</dcterms:created>
  <dcterms:modified xsi:type="dcterms:W3CDTF">2026-04-29T09:12:37Z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2052-12.1.0.25865</vt:lpwstr>
  </property>
  <property fmtid="{D5CDD505-2E9C-101B-9397-08002B2CF9AE}" pid="3" name="ICV">
    <vt:lpwstr>C38809E228684C199BE3E4EFEB183941_12</vt:lpwstr>
  </property>
  <property fmtid="{D5CDD505-2E9C-101B-9397-08002B2CF9AE}" pid="4" name="CalculationRule">
    <vt:i4>0</vt:i4>
  </property>
</Properties>
</file>